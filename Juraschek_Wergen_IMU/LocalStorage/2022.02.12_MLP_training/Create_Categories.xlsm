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ns_\PycharmProjects\Waschmaschine_IMU\Juraschek_Wergen_IMU\LocalStorage\2022.02.12_MLP_training\"/>
    </mc:Choice>
  </mc:AlternateContent>
  <xr:revisionPtr revIDLastSave="0" documentId="13_ncr:1_{4E1F4D9C-9991-46B4-8640-C8CA8951D3A8}" xr6:coauthVersionLast="47" xr6:coauthVersionMax="47" xr10:uidLastSave="{00000000-0000-0000-0000-000000000000}"/>
  <bookViews>
    <workbookView xWindow="-96" yWindow="-96" windowWidth="23232" windowHeight="12552" activeTab="4" xr2:uid="{E538FD70-4DF9-436B-94EE-62181814746D}"/>
  </bookViews>
  <sheets>
    <sheet name="Tabelle1" sheetId="1" r:id="rId1"/>
    <sheet name="Tabelle1 (2)" sheetId="2" r:id="rId2"/>
    <sheet name="Tabelle1 (3)" sheetId="3" r:id="rId3"/>
    <sheet name="Tabelle1 (4)" sheetId="4" r:id="rId4"/>
    <sheet name="Tabelle1 (5)" sheetId="5" r:id="rId5"/>
  </sheets>
  <definedNames>
    <definedName name="_xlnm._FilterDatabase" localSheetId="0" hidden="1">Tabelle1!$D$1:$D$124</definedName>
    <definedName name="_xlnm._FilterDatabase" localSheetId="1" hidden="1">'Tabelle1 (2)'!$D$1:$D$138</definedName>
    <definedName name="_xlnm._FilterDatabase" localSheetId="2" hidden="1">'Tabelle1 (3)'!$D$1:$D$137</definedName>
    <definedName name="_xlnm._FilterDatabase" localSheetId="3" hidden="1">'Tabelle1 (4)'!$D$1:$D$137</definedName>
    <definedName name="_xlnm._FilterDatabase" localSheetId="4" hidden="1">'Tabelle1 (5)'!$D$1:$D$141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D19" i="5"/>
  <c r="D17" i="5"/>
  <c r="D15" i="5"/>
  <c r="D6" i="5"/>
  <c r="D34" i="5"/>
  <c r="E33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8" i="5"/>
  <c r="D16" i="5"/>
  <c r="D14" i="5"/>
  <c r="D13" i="5"/>
  <c r="D12" i="5"/>
  <c r="D11" i="5"/>
  <c r="D10" i="5"/>
  <c r="D9" i="5"/>
  <c r="D8" i="5"/>
  <c r="D7" i="5"/>
  <c r="D5" i="5"/>
  <c r="D4" i="5"/>
  <c r="D3" i="5"/>
  <c r="D2" i="5"/>
  <c r="E1" i="5"/>
  <c r="D1" i="5"/>
  <c r="D30" i="4"/>
  <c r="A30" i="4"/>
  <c r="E29" i="4"/>
  <c r="D29" i="4"/>
  <c r="A29" i="4"/>
  <c r="E28" i="4"/>
  <c r="D28" i="4"/>
  <c r="A28" i="4"/>
  <c r="E27" i="4"/>
  <c r="D27" i="4"/>
  <c r="A27" i="4"/>
  <c r="E26" i="4"/>
  <c r="D26" i="4"/>
  <c r="A26" i="4"/>
  <c r="E25" i="4"/>
  <c r="D25" i="4"/>
  <c r="A25" i="4"/>
  <c r="E24" i="4"/>
  <c r="D24" i="4"/>
  <c r="A24" i="4"/>
  <c r="E23" i="4"/>
  <c r="D23" i="4"/>
  <c r="A23" i="4"/>
  <c r="E22" i="4"/>
  <c r="D22" i="4"/>
  <c r="A22" i="4"/>
  <c r="E21" i="4"/>
  <c r="D21" i="4"/>
  <c r="A21" i="4"/>
  <c r="E20" i="4"/>
  <c r="D20" i="4"/>
  <c r="A20" i="4"/>
  <c r="E19" i="4"/>
  <c r="D19" i="4"/>
  <c r="A19" i="4"/>
  <c r="E18" i="4"/>
  <c r="D18" i="4"/>
  <c r="A18" i="4"/>
  <c r="E17" i="4"/>
  <c r="D17" i="4"/>
  <c r="A17" i="4"/>
  <c r="E16" i="4"/>
  <c r="D16" i="4"/>
  <c r="A16" i="4"/>
  <c r="E15" i="4"/>
  <c r="D15" i="4"/>
  <c r="A15" i="4"/>
  <c r="E14" i="4"/>
  <c r="D14" i="4"/>
  <c r="A14" i="4"/>
  <c r="E13" i="4"/>
  <c r="D13" i="4"/>
  <c r="A13" i="4"/>
  <c r="E12" i="4"/>
  <c r="D12" i="4"/>
  <c r="A12" i="4"/>
  <c r="E11" i="4"/>
  <c r="D11" i="4"/>
  <c r="A11" i="4"/>
  <c r="E10" i="4"/>
  <c r="D10" i="4"/>
  <c r="A10" i="4"/>
  <c r="E9" i="4"/>
  <c r="D9" i="4"/>
  <c r="A9" i="4"/>
  <c r="E8" i="4"/>
  <c r="D8" i="4"/>
  <c r="A8" i="4"/>
  <c r="E7" i="4"/>
  <c r="D7" i="4"/>
  <c r="A7" i="4"/>
  <c r="E6" i="4"/>
  <c r="D6" i="4"/>
  <c r="A6" i="4"/>
  <c r="E5" i="4"/>
  <c r="D5" i="4"/>
  <c r="A5" i="4"/>
  <c r="E4" i="4"/>
  <c r="D4" i="4"/>
  <c r="A4" i="4"/>
  <c r="E3" i="4"/>
  <c r="D3" i="4"/>
  <c r="A3" i="4"/>
  <c r="E2" i="4"/>
  <c r="D2" i="4"/>
  <c r="A2" i="4"/>
  <c r="E1" i="4"/>
  <c r="D1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A3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2" i="3"/>
  <c r="E1" i="3"/>
  <c r="D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D31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2" i="2"/>
  <c r="E2" i="2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A2" i="2"/>
  <c r="E1" i="2"/>
  <c r="D1" i="2"/>
  <c r="A2" i="1"/>
  <c r="A3" i="1"/>
  <c r="A4" i="1"/>
  <c r="A5" i="1"/>
  <c r="A6" i="1"/>
  <c r="A7" i="1"/>
  <c r="A8" i="1"/>
  <c r="A9" i="1"/>
  <c r="A10" i="1"/>
  <c r="A11" i="1"/>
  <c r="E3" i="1"/>
  <c r="E4" i="1"/>
  <c r="E5" i="1"/>
  <c r="E6" i="1"/>
  <c r="E7" i="1"/>
  <c r="E8" i="1"/>
  <c r="E9" i="1"/>
  <c r="E10" i="1"/>
  <c r="E11" i="1"/>
  <c r="E1" i="1"/>
  <c r="E2" i="1"/>
  <c r="D1" i="1"/>
  <c r="D2" i="1"/>
  <c r="D3" i="1"/>
  <c r="D4" i="1"/>
  <c r="D5" i="1"/>
  <c r="D6" i="1"/>
  <c r="D7" i="1"/>
  <c r="D8" i="1"/>
  <c r="D9" i="1"/>
  <c r="D10" i="1"/>
  <c r="D11" i="1"/>
</calcChain>
</file>

<file path=xl/sharedStrings.xml><?xml version="1.0" encoding="utf-8"?>
<sst xmlns="http://schemas.openxmlformats.org/spreadsheetml/2006/main" count="321" uniqueCount="65">
  <si>
    <t>0.00</t>
  </si>
  <si>
    <t>4305.79</t>
  </si>
  <si>
    <t>100.00</t>
  </si>
  <si>
    <t>197.00</t>
  </si>
  <si>
    <t>1967.00</t>
  </si>
  <si>
    <t>2008.00</t>
  </si>
  <si>
    <t>2519.8</t>
  </si>
  <si>
    <t>2752.5</t>
  </si>
  <si>
    <t>3112.2</t>
  </si>
  <si>
    <t>3241.5</t>
  </si>
  <si>
    <t>3876.2</t>
  </si>
  <si>
    <t>3890.8</t>
  </si>
  <si>
    <t>Introduce detergent</t>
  </si>
  <si>
    <t>Pump in water</t>
  </si>
  <si>
    <t>Washing</t>
  </si>
  <si>
    <t>Pump out water</t>
  </si>
  <si>
    <t>Flushing</t>
  </si>
  <si>
    <t>Spinning</t>
  </si>
  <si>
    <t>Loosening</t>
  </si>
  <si>
    <t>[ '0 Introduce detergent', '1 Pump in water', '2 Washing', '3 Pump out water', '4 Flushing', '5 Spinning', '6 Loosening']</t>
  </si>
  <si>
    <t>[[0.00,100.00,0],[100.00,197.00,1],[197.00,1967.00,2],[1967.00,2008.00,3],[2008.00,2519.8,4],[2519.8,2752.5,3],[2752.5,3112.2,4],[3112.2,3241.5,3],[3241.5,3876.2,5],[3876.2,3890.8,3],[3890.8,4305.79,6]]</t>
  </si>
  <si>
    <t>Noise</t>
  </si>
  <si>
    <t>41.32</t>
  </si>
  <si>
    <t>110.36</t>
  </si>
  <si>
    <t>115.19</t>
  </si>
  <si>
    <t>120.46</t>
  </si>
  <si>
    <t>125.06</t>
  </si>
  <si>
    <t>1967.13</t>
  </si>
  <si>
    <t>1988.08</t>
  </si>
  <si>
    <t>1991.04</t>
  </si>
  <si>
    <t>2007.11</t>
  </si>
  <si>
    <t>2056.95</t>
  </si>
  <si>
    <t>2160.12</t>
  </si>
  <si>
    <t>2559.75</t>
  </si>
  <si>
    <t>2562.72</t>
  </si>
  <si>
    <t>2578.66</t>
  </si>
  <si>
    <t>2752.54</t>
  </si>
  <si>
    <t>3151.51</t>
  </si>
  <si>
    <t>3154.02</t>
  </si>
  <si>
    <t>3170.29</t>
  </si>
  <si>
    <t>3275.55</t>
  </si>
  <si>
    <t>3287.62</t>
  </si>
  <si>
    <t>3299.65</t>
  </si>
  <si>
    <t>3330.47</t>
  </si>
  <si>
    <t>3341.53</t>
  </si>
  <si>
    <t>3343.37</t>
  </si>
  <si>
    <t>3876.16</t>
  </si>
  <si>
    <t>3879.01</t>
  </si>
  <si>
    <t>3890.54</t>
  </si>
  <si>
    <t>[ '0 Introduce detergent', '1 Pump in water', '2 Washing', '3 Pump out water', '4 Flushing', '5 Spinning', '6 Loosening', '7 Noise']</t>
  </si>
  <si>
    <t>[[0.00,41.32,7],[41.32,100.00,0],[100.00,110.36,1],[110.36,115.19,7],[115.19,120.46,1],[120.46,125.06,7],[125.06,1967.13,2],[1967.13,1988.08,3],[1988.08,1991.04,7],[1991.04,2007.11,3],[2007.11,2056.95,7],[2056.95,2160.12,1],[2160.12,2519.8,4],[2519.8,2559.75,3],[2559.75,2562.72,7],[2562.72,2578.66,3],[2578.66,2752.54,1],[2752.54,3112.2,4],[3112.2,3151.51,3],[3151.51,3154.02,7],[3154.02,3170.29,3],[3170.29,3275.55,7],[3275.55,3287.62,3],[3287.62,3299.65,7],[3299.65,3330.47,3],[3330.47,3341.53,7],[3341.53,3343.37,3],[3343.37,3876.16,5],[3876.16,3879.01,7],[3879.01,3890.54,3],[3890.54,4305.79,6]]</t>
  </si>
  <si>
    <t>[ '0 Noise', '1 Pump in water', '2 Washing', '3 Pump out water', '4 Flushing', '5 Spinning', '6 Loosening']</t>
  </si>
  <si>
    <t>[[0.00,41.32,0],[41.32,110.36,1],[110.36,115.19,0],[115.19,120.46,1],[120.46,125.06,0],[125.06,1967.13,2],[1967.13,1988.08,3],[1988.08,1991.04,0],[1991.04,2007.11,3],[2007.11,2056.95,0],[2056.95,2160.12,1],[2160.12,2519.8,4],[2519.8,2559.75,3],[2559.75,2562.72,0],[2562.72,2578.66,3],[2578.66,2752.54,1],[2752.54,3112.2,4],[3112.2,3151.51,3],[3151.51,3154.02,0],[3154.02,3170.29,3],[3170.29,3275.55,0],[3275.55,3287.62,3],[3287.62,3299.65,0],[3299.65,3330.47,3],[3330.47,3341.53,0],[3341.53,3343.37,3],[3343.37,3876.16,5],[3876.16,3879.01,0],[3879.01,3890.54,3],[3890.54,4305.79,6]]</t>
  </si>
  <si>
    <t>Washing/Flushing</t>
  </si>
  <si>
    <t>[ '0 Noise', '1 Pump in water', '2 Washing/Flushing', '3 Pump out water', '4 Spinning', '5 Loosening']</t>
  </si>
  <si>
    <t>[[0.00,41.32,0],[41.32,110.36,1],[110.36,115.19,0],[115.19,120.46,1],[120.46,125.06,0],[125.06,1967.13,2],[1967.13,1988.08,3],[1988.08,1991.04,0],[1991.04,2007.11,3],[2007.11,2056.95,0],[2056.95,2160.12,1],[2160.12,2519.8,2],[2519.8,2559.75,3],[2559.75,2562.72,0],[2562.72,2578.66,3],[2578.66,2752.54,1],[2752.54,3112.2,2],[3112.2,3151.51,3],[3151.51,3154.02,0],[3154.02,3170.29,3],[3170.29,3275.55,0],[3275.55,3287.62,3],[3287.62,3299.65,0],[3299.65,3330.47,3],[3330.47,3341.53,0],[3341.53,3343.37,3],[3343.37,3876.16,4],[3876.16,3879.01,0],[3879.01,3890.54,3],[3890.54,4305.79,5]]</t>
  </si>
  <si>
    <t>Standstill</t>
  </si>
  <si>
    <t>[ '0 Standstill', '1 Pump in water', '2 Washing/Flushing', '3 Pump out water', '4 Spinning']</t>
  </si>
  <si>
    <t>196.85</t>
  </si>
  <si>
    <t>2521.00</t>
  </si>
  <si>
    <t>2573.83</t>
  </si>
  <si>
    <t>2574.52</t>
  </si>
  <si>
    <t>2578.69</t>
  </si>
  <si>
    <t>[[0.00,41.32,0],[41.32,110.36,1],[110.36,115.19,0],[115.19,120.46,1],[120.46,125.06,0],[125.06,196.85,1],[196.85,1967.13,2],[1967.13,1988.08,3],[1988.08,1991.04,0],[1991.04,2007.11,3],[2007.11,2056.95,0],[2056.95,2160.12,1],[2160.12,2519.8,2],[2519.8,2521.00,3],[2521.00,2559.75,2],[2559.75,2562.72,0],[2562.72,2573.83,2],[2573.83,2574.52,3],[2574.52,2578.69,2],[2578.69,2752.54,1],[2752.54,3112.2,2],[3112.2,3151.51,3],[3151.51,3154.02,0],[3154.02,3170.29,3],[3170.29,3275.55,0],[3275.55,3287.62,3],[3287.62,3299.65,0],[3299.65,3330.47,3],[3330.47,3341.53,0],[3341.53,3343.37,3],[3343.37,3876.16,4],[3876.16,3879.01,0],[3879.01,3890.54,3],[3890.54,4305.79,0]]</t>
  </si>
  <si>
    <t>Mit Markos erstellt: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</si>
</sst>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,0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E7D5-5E01-4484-AB68-03FA70F02646}">
  <sheetPr codeName="Tabelle1"/>
  <dimension ref="A1:N124"/>
  <sheetViews>
    <sheetView workbookViewId="0">
      <selection activeCell="C20" sqref="C20"/>
    </sheetView>
  </sheetViews>
  <sheetFormatPr baseColWidth="10" defaultRowHeight="14.4" x14ac:dyDescent="0.3"/>
  <cols>
    <col min="1" max="1" width="11.5546875" style="3"/>
    <col min="3" max="3" width="18.33203125" bestFit="1" customWidth="1"/>
    <col min="6" max="6" width="11.5546875" style="2"/>
    <col min="7" max="7" width="17.33203125" bestFit="1" customWidth="1"/>
  </cols>
  <sheetData>
    <row r="1" spans="1:14" x14ac:dyDescent="0.3">
      <c r="A1" s="3" t="s">
        <v>0</v>
      </c>
      <c r="B1" s="1" t="s">
        <v>2</v>
      </c>
      <c r="C1" t="s">
        <v>12</v>
      </c>
      <c r="D1">
        <f t="shared" ref="D1:D11" si="0">VLOOKUP(C1,$G:$H,2,FALSE)</f>
        <v>0</v>
      </c>
      <c r="E1" t="b">
        <f>SUBSTITUTE(B1,".",",")*1&lt;SUBSTITUTE(B2,".",",")*1</f>
        <v>1</v>
      </c>
      <c r="G1" t="s">
        <v>12</v>
      </c>
      <c r="H1">
        <v>0</v>
      </c>
    </row>
    <row r="2" spans="1:14" x14ac:dyDescent="0.3">
      <c r="A2" s="3" t="str">
        <f>B1</f>
        <v>100.00</v>
      </c>
      <c r="B2" s="1" t="s">
        <v>3</v>
      </c>
      <c r="C2" t="s">
        <v>13</v>
      </c>
      <c r="D2">
        <f t="shared" si="0"/>
        <v>1</v>
      </c>
      <c r="E2" t="b">
        <f>SUBSTITUTE(B2,".",",")*1&lt;SUBSTITUTE(B3,".",",")*1</f>
        <v>1</v>
      </c>
      <c r="G2" t="s">
        <v>13</v>
      </c>
      <c r="H2">
        <v>1</v>
      </c>
      <c r="N2" t="s">
        <v>20</v>
      </c>
    </row>
    <row r="3" spans="1:14" x14ac:dyDescent="0.3">
      <c r="A3" s="3" t="str">
        <f t="shared" ref="A3:A11" si="1">B2</f>
        <v>197.00</v>
      </c>
      <c r="B3" s="1" t="s">
        <v>4</v>
      </c>
      <c r="C3" t="s">
        <v>14</v>
      </c>
      <c r="D3">
        <f t="shared" si="0"/>
        <v>2</v>
      </c>
      <c r="E3" t="b">
        <f t="shared" ref="E3:E11" si="2">SUBSTITUTE(B3,".",",")*1&lt;SUBSTITUTE(B4,".",",")*1</f>
        <v>1</v>
      </c>
      <c r="G3" t="s">
        <v>14</v>
      </c>
      <c r="H3">
        <v>2</v>
      </c>
      <c r="N3" t="s">
        <v>19</v>
      </c>
    </row>
    <row r="4" spans="1:14" x14ac:dyDescent="0.3">
      <c r="A4" s="3" t="str">
        <f t="shared" si="1"/>
        <v>1967.00</v>
      </c>
      <c r="B4" s="1" t="s">
        <v>5</v>
      </c>
      <c r="C4" t="s">
        <v>15</v>
      </c>
      <c r="D4">
        <f t="shared" si="0"/>
        <v>3</v>
      </c>
      <c r="E4" t="b">
        <f t="shared" si="2"/>
        <v>1</v>
      </c>
      <c r="G4" t="s">
        <v>15</v>
      </c>
      <c r="H4">
        <v>3</v>
      </c>
    </row>
    <row r="5" spans="1:14" x14ac:dyDescent="0.3">
      <c r="A5" s="3" t="str">
        <f t="shared" si="1"/>
        <v>2008.00</v>
      </c>
      <c r="B5" s="1" t="s">
        <v>6</v>
      </c>
      <c r="C5" t="s">
        <v>16</v>
      </c>
      <c r="D5">
        <f t="shared" si="0"/>
        <v>4</v>
      </c>
      <c r="E5" t="b">
        <f t="shared" si="2"/>
        <v>1</v>
      </c>
      <c r="G5" t="s">
        <v>16</v>
      </c>
      <c r="H5">
        <v>4</v>
      </c>
    </row>
    <row r="6" spans="1:14" x14ac:dyDescent="0.3">
      <c r="A6" s="3" t="str">
        <f t="shared" si="1"/>
        <v>2519.8</v>
      </c>
      <c r="B6" s="1" t="s">
        <v>7</v>
      </c>
      <c r="C6" t="s">
        <v>15</v>
      </c>
      <c r="D6">
        <f t="shared" si="0"/>
        <v>3</v>
      </c>
      <c r="E6" t="b">
        <f t="shared" si="2"/>
        <v>1</v>
      </c>
      <c r="G6" t="s">
        <v>17</v>
      </c>
      <c r="H6">
        <v>5</v>
      </c>
    </row>
    <row r="7" spans="1:14" x14ac:dyDescent="0.3">
      <c r="A7" s="3" t="str">
        <f t="shared" si="1"/>
        <v>2752.5</v>
      </c>
      <c r="B7" s="1" t="s">
        <v>8</v>
      </c>
      <c r="C7" t="s">
        <v>16</v>
      </c>
      <c r="D7">
        <f t="shared" si="0"/>
        <v>4</v>
      </c>
      <c r="E7" t="b">
        <f t="shared" si="2"/>
        <v>1</v>
      </c>
      <c r="G7" t="s">
        <v>18</v>
      </c>
      <c r="H7">
        <v>6</v>
      </c>
    </row>
    <row r="8" spans="1:14" x14ac:dyDescent="0.3">
      <c r="A8" s="3" t="str">
        <f t="shared" si="1"/>
        <v>3112.2</v>
      </c>
      <c r="B8" s="1" t="s">
        <v>9</v>
      </c>
      <c r="C8" t="s">
        <v>15</v>
      </c>
      <c r="D8">
        <f t="shared" si="0"/>
        <v>3</v>
      </c>
      <c r="E8" t="b">
        <f t="shared" si="2"/>
        <v>1</v>
      </c>
    </row>
    <row r="9" spans="1:14" x14ac:dyDescent="0.3">
      <c r="A9" s="3" t="str">
        <f t="shared" si="1"/>
        <v>3241.5</v>
      </c>
      <c r="B9" s="1" t="s">
        <v>10</v>
      </c>
      <c r="C9" t="s">
        <v>17</v>
      </c>
      <c r="D9">
        <f t="shared" si="0"/>
        <v>5</v>
      </c>
      <c r="E9" t="b">
        <f t="shared" si="2"/>
        <v>1</v>
      </c>
    </row>
    <row r="10" spans="1:14" x14ac:dyDescent="0.3">
      <c r="A10" s="3" t="str">
        <f t="shared" si="1"/>
        <v>3876.2</v>
      </c>
      <c r="B10" s="1" t="s">
        <v>11</v>
      </c>
      <c r="C10" t="s">
        <v>15</v>
      </c>
      <c r="D10">
        <f t="shared" si="0"/>
        <v>3</v>
      </c>
      <c r="E10" t="b">
        <f t="shared" si="2"/>
        <v>1</v>
      </c>
    </row>
    <row r="11" spans="1:14" x14ac:dyDescent="0.3">
      <c r="A11" s="3" t="str">
        <f t="shared" si="1"/>
        <v>3890.8</v>
      </c>
      <c r="B11" s="1" t="s">
        <v>1</v>
      </c>
      <c r="C11" t="s">
        <v>18</v>
      </c>
      <c r="D11">
        <f t="shared" si="0"/>
        <v>6</v>
      </c>
      <c r="E11" t="e">
        <f t="shared" si="2"/>
        <v>#VALUE!</v>
      </c>
    </row>
    <row r="12" spans="1:14" x14ac:dyDescent="0.3">
      <c r="B12" s="1"/>
    </row>
    <row r="13" spans="1:14" x14ac:dyDescent="0.3">
      <c r="B13" s="1"/>
    </row>
    <row r="14" spans="1:14" x14ac:dyDescent="0.3">
      <c r="B14" s="1"/>
    </row>
    <row r="15" spans="1:14" x14ac:dyDescent="0.3">
      <c r="B15" s="1"/>
    </row>
    <row r="16" spans="1:14" x14ac:dyDescent="0.3">
      <c r="B16" s="1"/>
    </row>
    <row r="17" spans="2:2" x14ac:dyDescent="0.3">
      <c r="B17" s="1"/>
    </row>
    <row r="18" spans="2:2" x14ac:dyDescent="0.3">
      <c r="B18" s="1"/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s="1"/>
    </row>
    <row r="124" spans="2:2" x14ac:dyDescent="0.3">
      <c r="B124" s="1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DF27C-C980-42C8-B9C3-CC9765703029}">
  <sheetPr codeName="Tabelle2"/>
  <dimension ref="A1:N138"/>
  <sheetViews>
    <sheetView workbookViewId="0">
      <selection activeCell="G2" sqref="G2"/>
    </sheetView>
  </sheetViews>
  <sheetFormatPr baseColWidth="10" defaultRowHeight="14.4" x14ac:dyDescent="0.3"/>
  <cols>
    <col min="1" max="1" width="11.5546875" style="3"/>
    <col min="3" max="3" width="18.33203125" bestFit="1" customWidth="1"/>
    <col min="6" max="6" width="11.5546875" style="2"/>
    <col min="7" max="7" width="17.33203125" bestFit="1" customWidth="1"/>
  </cols>
  <sheetData>
    <row r="1" spans="1:14" x14ac:dyDescent="0.3">
      <c r="A1" s="3" t="s">
        <v>0</v>
      </c>
      <c r="B1" s="1" t="s">
        <v>22</v>
      </c>
      <c r="C1" t="s">
        <v>21</v>
      </c>
      <c r="D1">
        <f>VLOOKUP(C1,$G:$H,2,FALSE)</f>
        <v>7</v>
      </c>
      <c r="E1" t="b">
        <f>SUBSTITUTE(B1,".",",")*1&lt;SUBSTITUTE(B2,".",",")*1</f>
        <v>1</v>
      </c>
      <c r="G1" t="s">
        <v>12</v>
      </c>
      <c r="H1">
        <v>0</v>
      </c>
    </row>
    <row r="2" spans="1:14" x14ac:dyDescent="0.3">
      <c r="A2" s="3" t="str">
        <f>B1</f>
        <v>41.32</v>
      </c>
      <c r="B2" s="1" t="s">
        <v>2</v>
      </c>
      <c r="C2" t="s">
        <v>12</v>
      </c>
      <c r="D2">
        <f t="shared" ref="D2:D31" si="0">VLOOKUP(C2,$G:$H,2,FALSE)</f>
        <v>0</v>
      </c>
      <c r="E2" t="b">
        <f t="shared" ref="E2:E19" si="1">SUBSTITUTE(B2,".",",")*1&lt;SUBSTITUTE(B3,".",",")*1</f>
        <v>1</v>
      </c>
      <c r="G2" t="s">
        <v>13</v>
      </c>
      <c r="H2">
        <v>1</v>
      </c>
      <c r="N2" t="s">
        <v>50</v>
      </c>
    </row>
    <row r="3" spans="1:14" x14ac:dyDescent="0.3">
      <c r="A3" s="3" t="str">
        <f t="shared" ref="A3:A31" si="2">B2</f>
        <v>100.00</v>
      </c>
      <c r="B3" s="1" t="s">
        <v>23</v>
      </c>
      <c r="C3" t="s">
        <v>13</v>
      </c>
      <c r="D3">
        <f t="shared" si="0"/>
        <v>1</v>
      </c>
      <c r="E3" t="b">
        <f t="shared" si="1"/>
        <v>1</v>
      </c>
      <c r="G3" t="s">
        <v>14</v>
      </c>
      <c r="H3">
        <v>2</v>
      </c>
      <c r="N3" t="s">
        <v>49</v>
      </c>
    </row>
    <row r="4" spans="1:14" x14ac:dyDescent="0.3">
      <c r="A4" s="3" t="str">
        <f t="shared" si="2"/>
        <v>110.36</v>
      </c>
      <c r="B4" s="1" t="s">
        <v>24</v>
      </c>
      <c r="C4" t="s">
        <v>21</v>
      </c>
      <c r="D4">
        <f t="shared" si="0"/>
        <v>7</v>
      </c>
      <c r="E4" t="b">
        <f t="shared" si="1"/>
        <v>1</v>
      </c>
      <c r="G4" t="s">
        <v>15</v>
      </c>
      <c r="H4">
        <v>3</v>
      </c>
    </row>
    <row r="5" spans="1:14" x14ac:dyDescent="0.3">
      <c r="A5" s="3" t="str">
        <f t="shared" si="2"/>
        <v>115.19</v>
      </c>
      <c r="B5" s="1" t="s">
        <v>25</v>
      </c>
      <c r="C5" t="s">
        <v>13</v>
      </c>
      <c r="D5">
        <f t="shared" si="0"/>
        <v>1</v>
      </c>
      <c r="E5" t="b">
        <f t="shared" si="1"/>
        <v>1</v>
      </c>
      <c r="G5" t="s">
        <v>16</v>
      </c>
      <c r="H5">
        <v>4</v>
      </c>
    </row>
    <row r="6" spans="1:14" x14ac:dyDescent="0.3">
      <c r="A6" s="3" t="str">
        <f t="shared" si="2"/>
        <v>120.46</v>
      </c>
      <c r="B6" s="1" t="s">
        <v>26</v>
      </c>
      <c r="C6" t="s">
        <v>21</v>
      </c>
      <c r="D6">
        <f t="shared" si="0"/>
        <v>7</v>
      </c>
      <c r="E6" t="b">
        <f t="shared" si="1"/>
        <v>1</v>
      </c>
      <c r="G6" t="s">
        <v>17</v>
      </c>
      <c r="H6">
        <v>5</v>
      </c>
    </row>
    <row r="7" spans="1:14" x14ac:dyDescent="0.3">
      <c r="A7" s="3" t="str">
        <f t="shared" si="2"/>
        <v>125.06</v>
      </c>
      <c r="B7" s="1" t="s">
        <v>27</v>
      </c>
      <c r="C7" t="s">
        <v>14</v>
      </c>
      <c r="D7">
        <f t="shared" si="0"/>
        <v>2</v>
      </c>
      <c r="E7" t="b">
        <f t="shared" si="1"/>
        <v>1</v>
      </c>
      <c r="G7" t="s">
        <v>18</v>
      </c>
      <c r="H7">
        <v>6</v>
      </c>
    </row>
    <row r="8" spans="1:14" x14ac:dyDescent="0.3">
      <c r="A8" s="3" t="str">
        <f t="shared" si="2"/>
        <v>1967.13</v>
      </c>
      <c r="B8" s="1" t="s">
        <v>28</v>
      </c>
      <c r="C8" t="s">
        <v>15</v>
      </c>
      <c r="D8">
        <f t="shared" si="0"/>
        <v>3</v>
      </c>
      <c r="E8" t="b">
        <f t="shared" si="1"/>
        <v>1</v>
      </c>
      <c r="G8" t="s">
        <v>21</v>
      </c>
      <c r="H8">
        <v>7</v>
      </c>
    </row>
    <row r="9" spans="1:14" x14ac:dyDescent="0.3">
      <c r="A9" s="3" t="str">
        <f t="shared" si="2"/>
        <v>1988.08</v>
      </c>
      <c r="B9" s="1" t="s">
        <v>29</v>
      </c>
      <c r="C9" t="s">
        <v>21</v>
      </c>
      <c r="D9">
        <f t="shared" si="0"/>
        <v>7</v>
      </c>
      <c r="E9" t="b">
        <f t="shared" si="1"/>
        <v>1</v>
      </c>
    </row>
    <row r="10" spans="1:14" x14ac:dyDescent="0.3">
      <c r="A10" s="3" t="str">
        <f t="shared" si="2"/>
        <v>1991.04</v>
      </c>
      <c r="B10" s="1" t="s">
        <v>30</v>
      </c>
      <c r="C10" t="s">
        <v>15</v>
      </c>
      <c r="D10">
        <f t="shared" si="0"/>
        <v>3</v>
      </c>
      <c r="E10" t="b">
        <f t="shared" si="1"/>
        <v>1</v>
      </c>
    </row>
    <row r="11" spans="1:14" x14ac:dyDescent="0.3">
      <c r="A11" s="3" t="str">
        <f t="shared" si="2"/>
        <v>2007.11</v>
      </c>
      <c r="B11" s="1" t="s">
        <v>31</v>
      </c>
      <c r="C11" t="s">
        <v>21</v>
      </c>
      <c r="D11">
        <f t="shared" si="0"/>
        <v>7</v>
      </c>
      <c r="E11" t="b">
        <f t="shared" si="1"/>
        <v>1</v>
      </c>
    </row>
    <row r="12" spans="1:14" x14ac:dyDescent="0.3">
      <c r="A12" s="3" t="str">
        <f t="shared" si="2"/>
        <v>2056.95</v>
      </c>
      <c r="B12" s="1" t="s">
        <v>32</v>
      </c>
      <c r="C12" t="s">
        <v>13</v>
      </c>
      <c r="D12">
        <f t="shared" si="0"/>
        <v>1</v>
      </c>
      <c r="E12" t="b">
        <f t="shared" si="1"/>
        <v>1</v>
      </c>
    </row>
    <row r="13" spans="1:14" x14ac:dyDescent="0.3">
      <c r="A13" s="3" t="str">
        <f t="shared" si="2"/>
        <v>2160.12</v>
      </c>
      <c r="B13" s="1" t="s">
        <v>6</v>
      </c>
      <c r="C13" t="s">
        <v>16</v>
      </c>
      <c r="D13">
        <f t="shared" si="0"/>
        <v>4</v>
      </c>
      <c r="E13" t="b">
        <f t="shared" si="1"/>
        <v>1</v>
      </c>
    </row>
    <row r="14" spans="1:14" x14ac:dyDescent="0.3">
      <c r="A14" s="3" t="str">
        <f t="shared" si="2"/>
        <v>2519.8</v>
      </c>
      <c r="B14" s="1" t="s">
        <v>33</v>
      </c>
      <c r="C14" t="s">
        <v>15</v>
      </c>
      <c r="D14">
        <f t="shared" si="0"/>
        <v>3</v>
      </c>
      <c r="E14" t="b">
        <f t="shared" si="1"/>
        <v>1</v>
      </c>
    </row>
    <row r="15" spans="1:14" x14ac:dyDescent="0.3">
      <c r="A15" s="3" t="str">
        <f t="shared" si="2"/>
        <v>2559.75</v>
      </c>
      <c r="B15" s="1" t="s">
        <v>34</v>
      </c>
      <c r="C15" t="s">
        <v>21</v>
      </c>
      <c r="D15">
        <f t="shared" si="0"/>
        <v>7</v>
      </c>
      <c r="E15" t="b">
        <f t="shared" si="1"/>
        <v>1</v>
      </c>
    </row>
    <row r="16" spans="1:14" x14ac:dyDescent="0.3">
      <c r="A16" s="3" t="str">
        <f t="shared" si="2"/>
        <v>2562.72</v>
      </c>
      <c r="B16" s="1" t="s">
        <v>35</v>
      </c>
      <c r="C16" t="s">
        <v>15</v>
      </c>
      <c r="D16">
        <f t="shared" si="0"/>
        <v>3</v>
      </c>
      <c r="E16" t="b">
        <f t="shared" si="1"/>
        <v>1</v>
      </c>
    </row>
    <row r="17" spans="1:5" x14ac:dyDescent="0.3">
      <c r="A17" s="3" t="str">
        <f t="shared" si="2"/>
        <v>2578.66</v>
      </c>
      <c r="B17" s="1" t="s">
        <v>36</v>
      </c>
      <c r="C17" t="s">
        <v>13</v>
      </c>
      <c r="D17">
        <f t="shared" si="0"/>
        <v>1</v>
      </c>
      <c r="E17" t="b">
        <f t="shared" si="1"/>
        <v>1</v>
      </c>
    </row>
    <row r="18" spans="1:5" x14ac:dyDescent="0.3">
      <c r="A18" s="3" t="str">
        <f t="shared" si="2"/>
        <v>2752.54</v>
      </c>
      <c r="B18" s="1" t="s">
        <v>8</v>
      </c>
      <c r="C18" t="s">
        <v>16</v>
      </c>
      <c r="D18">
        <f t="shared" si="0"/>
        <v>4</v>
      </c>
      <c r="E18" t="b">
        <f t="shared" si="1"/>
        <v>1</v>
      </c>
    </row>
    <row r="19" spans="1:5" x14ac:dyDescent="0.3">
      <c r="A19" s="3" t="str">
        <f t="shared" si="2"/>
        <v>3112.2</v>
      </c>
      <c r="B19" s="1" t="s">
        <v>37</v>
      </c>
      <c r="C19" t="s">
        <v>15</v>
      </c>
      <c r="D19">
        <f t="shared" si="0"/>
        <v>3</v>
      </c>
      <c r="E19" t="b">
        <f t="shared" si="1"/>
        <v>1</v>
      </c>
    </row>
    <row r="20" spans="1:5" x14ac:dyDescent="0.3">
      <c r="A20" s="3" t="str">
        <f t="shared" si="2"/>
        <v>3151.51</v>
      </c>
      <c r="B20" s="1" t="s">
        <v>38</v>
      </c>
      <c r="C20" t="s">
        <v>21</v>
      </c>
      <c r="D20">
        <f t="shared" si="0"/>
        <v>7</v>
      </c>
      <c r="E20" t="b">
        <f t="shared" ref="E20:E30" si="3">SUBSTITUTE(B20,".",",")*1&lt;SUBSTITUTE(B21,".",",")*1</f>
        <v>1</v>
      </c>
    </row>
    <row r="21" spans="1:5" x14ac:dyDescent="0.3">
      <c r="A21" s="3" t="str">
        <f t="shared" si="2"/>
        <v>3154.02</v>
      </c>
      <c r="B21" s="1" t="s">
        <v>39</v>
      </c>
      <c r="C21" t="s">
        <v>15</v>
      </c>
      <c r="D21">
        <f t="shared" si="0"/>
        <v>3</v>
      </c>
      <c r="E21" t="b">
        <f t="shared" si="3"/>
        <v>1</v>
      </c>
    </row>
    <row r="22" spans="1:5" x14ac:dyDescent="0.3">
      <c r="A22" s="3" t="str">
        <f t="shared" si="2"/>
        <v>3170.29</v>
      </c>
      <c r="B22" s="1" t="s">
        <v>40</v>
      </c>
      <c r="C22" t="s">
        <v>21</v>
      </c>
      <c r="D22">
        <f t="shared" si="0"/>
        <v>7</v>
      </c>
      <c r="E22" t="b">
        <f t="shared" si="3"/>
        <v>1</v>
      </c>
    </row>
    <row r="23" spans="1:5" x14ac:dyDescent="0.3">
      <c r="A23" s="3" t="str">
        <f t="shared" si="2"/>
        <v>3275.55</v>
      </c>
      <c r="B23" s="1" t="s">
        <v>41</v>
      </c>
      <c r="C23" t="s">
        <v>15</v>
      </c>
      <c r="D23">
        <f t="shared" si="0"/>
        <v>3</v>
      </c>
      <c r="E23" t="b">
        <f t="shared" si="3"/>
        <v>1</v>
      </c>
    </row>
    <row r="24" spans="1:5" x14ac:dyDescent="0.3">
      <c r="A24" s="3" t="str">
        <f t="shared" si="2"/>
        <v>3287.62</v>
      </c>
      <c r="B24" s="1" t="s">
        <v>42</v>
      </c>
      <c r="C24" t="s">
        <v>21</v>
      </c>
      <c r="D24">
        <f t="shared" si="0"/>
        <v>7</v>
      </c>
      <c r="E24" t="b">
        <f t="shared" si="3"/>
        <v>1</v>
      </c>
    </row>
    <row r="25" spans="1:5" x14ac:dyDescent="0.3">
      <c r="A25" s="3" t="str">
        <f t="shared" si="2"/>
        <v>3299.65</v>
      </c>
      <c r="B25" s="1" t="s">
        <v>43</v>
      </c>
      <c r="C25" t="s">
        <v>15</v>
      </c>
      <c r="D25">
        <f t="shared" si="0"/>
        <v>3</v>
      </c>
      <c r="E25" t="b">
        <f t="shared" si="3"/>
        <v>1</v>
      </c>
    </row>
    <row r="26" spans="1:5" x14ac:dyDescent="0.3">
      <c r="A26" s="3" t="str">
        <f t="shared" si="2"/>
        <v>3330.47</v>
      </c>
      <c r="B26" s="1" t="s">
        <v>44</v>
      </c>
      <c r="C26" t="s">
        <v>21</v>
      </c>
      <c r="D26">
        <f t="shared" si="0"/>
        <v>7</v>
      </c>
      <c r="E26" t="b">
        <f t="shared" si="3"/>
        <v>1</v>
      </c>
    </row>
    <row r="27" spans="1:5" x14ac:dyDescent="0.3">
      <c r="A27" s="3" t="str">
        <f t="shared" si="2"/>
        <v>3341.53</v>
      </c>
      <c r="B27" s="1" t="s">
        <v>45</v>
      </c>
      <c r="C27" t="s">
        <v>15</v>
      </c>
      <c r="D27">
        <f t="shared" si="0"/>
        <v>3</v>
      </c>
      <c r="E27" t="b">
        <f t="shared" si="3"/>
        <v>1</v>
      </c>
    </row>
    <row r="28" spans="1:5" x14ac:dyDescent="0.3">
      <c r="A28" s="3" t="str">
        <f t="shared" si="2"/>
        <v>3343.37</v>
      </c>
      <c r="B28" s="1" t="s">
        <v>46</v>
      </c>
      <c r="C28" t="s">
        <v>17</v>
      </c>
      <c r="D28">
        <f t="shared" si="0"/>
        <v>5</v>
      </c>
      <c r="E28" t="b">
        <f t="shared" si="3"/>
        <v>1</v>
      </c>
    </row>
    <row r="29" spans="1:5" x14ac:dyDescent="0.3">
      <c r="A29" s="3" t="str">
        <f t="shared" si="2"/>
        <v>3876.16</v>
      </c>
      <c r="B29" s="1" t="s">
        <v>47</v>
      </c>
      <c r="C29" t="s">
        <v>21</v>
      </c>
      <c r="D29">
        <f t="shared" si="0"/>
        <v>7</v>
      </c>
      <c r="E29" t="b">
        <f t="shared" si="3"/>
        <v>1</v>
      </c>
    </row>
    <row r="30" spans="1:5" x14ac:dyDescent="0.3">
      <c r="A30" s="3" t="str">
        <f t="shared" si="2"/>
        <v>3879.01</v>
      </c>
      <c r="B30" s="1" t="s">
        <v>48</v>
      </c>
      <c r="C30" t="s">
        <v>15</v>
      </c>
      <c r="D30">
        <f t="shared" si="0"/>
        <v>3</v>
      </c>
      <c r="E30" t="b">
        <f t="shared" si="3"/>
        <v>1</v>
      </c>
    </row>
    <row r="31" spans="1:5" x14ac:dyDescent="0.3">
      <c r="A31" s="3" t="str">
        <f t="shared" si="2"/>
        <v>3890.54</v>
      </c>
      <c r="B31" s="1" t="s">
        <v>1</v>
      </c>
      <c r="C31" t="s">
        <v>18</v>
      </c>
      <c r="D31">
        <f t="shared" si="0"/>
        <v>6</v>
      </c>
    </row>
    <row r="32" spans="1:5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138" spans="2:2" x14ac:dyDescent="0.3">
      <c r="B138" s="1"/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C8CA5-1E69-4263-AED2-E6912DD063E2}">
  <sheetPr codeName="Tabelle3"/>
  <dimension ref="A1:N137"/>
  <sheetViews>
    <sheetView workbookViewId="0">
      <selection activeCell="G24" sqref="G24"/>
    </sheetView>
  </sheetViews>
  <sheetFormatPr baseColWidth="10" defaultRowHeight="14.4" x14ac:dyDescent="0.3"/>
  <cols>
    <col min="1" max="1" width="11.5546875" style="3"/>
    <col min="3" max="3" width="18.33203125" bestFit="1" customWidth="1"/>
    <col min="6" max="6" width="11.5546875" style="2"/>
    <col min="7" max="7" width="17.33203125" bestFit="1" customWidth="1"/>
  </cols>
  <sheetData>
    <row r="1" spans="1:14" x14ac:dyDescent="0.3">
      <c r="A1" s="3" t="s">
        <v>0</v>
      </c>
      <c r="B1" s="1" t="s">
        <v>22</v>
      </c>
      <c r="C1" t="s">
        <v>21</v>
      </c>
      <c r="D1">
        <f>VLOOKUP(C1,$G:$H,2,FALSE)</f>
        <v>0</v>
      </c>
      <c r="E1" t="b">
        <f>SUBSTITUTE(B1,".",",")*1&lt;SUBSTITUTE(B2,".",",")*1</f>
        <v>1</v>
      </c>
      <c r="G1" t="s">
        <v>21</v>
      </c>
      <c r="H1">
        <v>0</v>
      </c>
    </row>
    <row r="2" spans="1:14" x14ac:dyDescent="0.3">
      <c r="A2" s="3" t="str">
        <f>B1</f>
        <v>41.32</v>
      </c>
      <c r="B2" s="1" t="s">
        <v>23</v>
      </c>
      <c r="C2" t="s">
        <v>13</v>
      </c>
      <c r="D2">
        <f t="shared" ref="D2:D30" si="0">VLOOKUP(C2,$G:$H,2,FALSE)</f>
        <v>1</v>
      </c>
      <c r="E2" t="b">
        <f t="shared" ref="E2:E29" si="1">SUBSTITUTE(B2,".",",")*1&lt;SUBSTITUTE(B3,".",",")*1</f>
        <v>1</v>
      </c>
      <c r="G2" t="s">
        <v>13</v>
      </c>
      <c r="H2">
        <v>1</v>
      </c>
      <c r="N2" t="s">
        <v>52</v>
      </c>
    </row>
    <row r="3" spans="1:14" x14ac:dyDescent="0.3">
      <c r="A3" s="3" t="str">
        <f>B2</f>
        <v>110.36</v>
      </c>
      <c r="B3" s="1" t="s">
        <v>24</v>
      </c>
      <c r="C3" t="s">
        <v>21</v>
      </c>
      <c r="D3">
        <f t="shared" si="0"/>
        <v>0</v>
      </c>
      <c r="E3" t="b">
        <f t="shared" si="1"/>
        <v>1</v>
      </c>
      <c r="G3" t="s">
        <v>14</v>
      </c>
      <c r="H3">
        <v>2</v>
      </c>
      <c r="N3" t="s">
        <v>51</v>
      </c>
    </row>
    <row r="4" spans="1:14" x14ac:dyDescent="0.3">
      <c r="A4" s="3" t="str">
        <f t="shared" ref="A4:A30" si="2">B3</f>
        <v>115.19</v>
      </c>
      <c r="B4" s="1" t="s">
        <v>25</v>
      </c>
      <c r="C4" t="s">
        <v>13</v>
      </c>
      <c r="D4">
        <f t="shared" si="0"/>
        <v>1</v>
      </c>
      <c r="E4" t="b">
        <f t="shared" si="1"/>
        <v>1</v>
      </c>
      <c r="G4" t="s">
        <v>15</v>
      </c>
      <c r="H4">
        <v>3</v>
      </c>
    </row>
    <row r="5" spans="1:14" x14ac:dyDescent="0.3">
      <c r="A5" s="3" t="str">
        <f t="shared" si="2"/>
        <v>120.46</v>
      </c>
      <c r="B5" s="1" t="s">
        <v>26</v>
      </c>
      <c r="C5" t="s">
        <v>21</v>
      </c>
      <c r="D5">
        <f t="shared" si="0"/>
        <v>0</v>
      </c>
      <c r="E5" t="b">
        <f t="shared" si="1"/>
        <v>1</v>
      </c>
      <c r="G5" t="s">
        <v>16</v>
      </c>
      <c r="H5">
        <v>4</v>
      </c>
    </row>
    <row r="6" spans="1:14" x14ac:dyDescent="0.3">
      <c r="A6" s="3" t="str">
        <f t="shared" si="2"/>
        <v>125.06</v>
      </c>
      <c r="B6" s="1" t="s">
        <v>27</v>
      </c>
      <c r="C6" t="s">
        <v>14</v>
      </c>
      <c r="D6">
        <f t="shared" si="0"/>
        <v>2</v>
      </c>
      <c r="E6" t="b">
        <f t="shared" si="1"/>
        <v>1</v>
      </c>
      <c r="G6" t="s">
        <v>17</v>
      </c>
      <c r="H6">
        <v>5</v>
      </c>
    </row>
    <row r="7" spans="1:14" x14ac:dyDescent="0.3">
      <c r="A7" s="3" t="str">
        <f t="shared" si="2"/>
        <v>1967.13</v>
      </c>
      <c r="B7" s="1" t="s">
        <v>28</v>
      </c>
      <c r="C7" t="s">
        <v>15</v>
      </c>
      <c r="D7">
        <f t="shared" si="0"/>
        <v>3</v>
      </c>
      <c r="E7" t="b">
        <f t="shared" si="1"/>
        <v>1</v>
      </c>
      <c r="G7" t="s">
        <v>18</v>
      </c>
      <c r="H7">
        <v>6</v>
      </c>
    </row>
    <row r="8" spans="1:14" x14ac:dyDescent="0.3">
      <c r="A8" s="3" t="str">
        <f t="shared" si="2"/>
        <v>1988.08</v>
      </c>
      <c r="B8" s="1" t="s">
        <v>29</v>
      </c>
      <c r="C8" t="s">
        <v>21</v>
      </c>
      <c r="D8">
        <f t="shared" si="0"/>
        <v>0</v>
      </c>
      <c r="E8" t="b">
        <f t="shared" si="1"/>
        <v>1</v>
      </c>
    </row>
    <row r="9" spans="1:14" x14ac:dyDescent="0.3">
      <c r="A9" s="3" t="str">
        <f t="shared" si="2"/>
        <v>1991.04</v>
      </c>
      <c r="B9" s="1" t="s">
        <v>30</v>
      </c>
      <c r="C9" t="s">
        <v>15</v>
      </c>
      <c r="D9">
        <f t="shared" si="0"/>
        <v>3</v>
      </c>
      <c r="E9" t="b">
        <f t="shared" si="1"/>
        <v>1</v>
      </c>
    </row>
    <row r="10" spans="1:14" x14ac:dyDescent="0.3">
      <c r="A10" s="3" t="str">
        <f t="shared" si="2"/>
        <v>2007.11</v>
      </c>
      <c r="B10" s="1" t="s">
        <v>31</v>
      </c>
      <c r="C10" t="s">
        <v>21</v>
      </c>
      <c r="D10">
        <f t="shared" si="0"/>
        <v>0</v>
      </c>
      <c r="E10" t="b">
        <f t="shared" si="1"/>
        <v>1</v>
      </c>
    </row>
    <row r="11" spans="1:14" x14ac:dyDescent="0.3">
      <c r="A11" s="3" t="str">
        <f t="shared" si="2"/>
        <v>2056.95</v>
      </c>
      <c r="B11" s="1" t="s">
        <v>32</v>
      </c>
      <c r="C11" t="s">
        <v>13</v>
      </c>
      <c r="D11">
        <f t="shared" si="0"/>
        <v>1</v>
      </c>
      <c r="E11" t="b">
        <f t="shared" si="1"/>
        <v>1</v>
      </c>
    </row>
    <row r="12" spans="1:14" x14ac:dyDescent="0.3">
      <c r="A12" s="3" t="str">
        <f t="shared" si="2"/>
        <v>2160.12</v>
      </c>
      <c r="B12" s="1" t="s">
        <v>6</v>
      </c>
      <c r="C12" t="s">
        <v>16</v>
      </c>
      <c r="D12">
        <f t="shared" si="0"/>
        <v>4</v>
      </c>
      <c r="E12" t="b">
        <f t="shared" si="1"/>
        <v>1</v>
      </c>
    </row>
    <row r="13" spans="1:14" x14ac:dyDescent="0.3">
      <c r="A13" s="3" t="str">
        <f t="shared" si="2"/>
        <v>2519.8</v>
      </c>
      <c r="B13" s="1" t="s">
        <v>33</v>
      </c>
      <c r="C13" t="s">
        <v>15</v>
      </c>
      <c r="D13">
        <f t="shared" si="0"/>
        <v>3</v>
      </c>
      <c r="E13" t="b">
        <f t="shared" si="1"/>
        <v>1</v>
      </c>
    </row>
    <row r="14" spans="1:14" x14ac:dyDescent="0.3">
      <c r="A14" s="3" t="str">
        <f t="shared" si="2"/>
        <v>2559.75</v>
      </c>
      <c r="B14" s="1" t="s">
        <v>34</v>
      </c>
      <c r="C14" t="s">
        <v>21</v>
      </c>
      <c r="D14">
        <f t="shared" si="0"/>
        <v>0</v>
      </c>
      <c r="E14" t="b">
        <f t="shared" si="1"/>
        <v>1</v>
      </c>
    </row>
    <row r="15" spans="1:14" x14ac:dyDescent="0.3">
      <c r="A15" s="3" t="str">
        <f t="shared" si="2"/>
        <v>2562.72</v>
      </c>
      <c r="B15" s="1" t="s">
        <v>35</v>
      </c>
      <c r="C15" t="s">
        <v>15</v>
      </c>
      <c r="D15">
        <f t="shared" si="0"/>
        <v>3</v>
      </c>
      <c r="E15" t="b">
        <f t="shared" si="1"/>
        <v>1</v>
      </c>
    </row>
    <row r="16" spans="1:14" x14ac:dyDescent="0.3">
      <c r="A16" s="3" t="str">
        <f t="shared" si="2"/>
        <v>2578.66</v>
      </c>
      <c r="B16" s="1" t="s">
        <v>36</v>
      </c>
      <c r="C16" t="s">
        <v>13</v>
      </c>
      <c r="D16">
        <f t="shared" si="0"/>
        <v>1</v>
      </c>
      <c r="E16" t="b">
        <f t="shared" si="1"/>
        <v>1</v>
      </c>
    </row>
    <row r="17" spans="1:5" x14ac:dyDescent="0.3">
      <c r="A17" s="3" t="str">
        <f t="shared" si="2"/>
        <v>2752.54</v>
      </c>
      <c r="B17" s="1" t="s">
        <v>8</v>
      </c>
      <c r="C17" t="s">
        <v>16</v>
      </c>
      <c r="D17">
        <f t="shared" si="0"/>
        <v>4</v>
      </c>
      <c r="E17" t="b">
        <f t="shared" si="1"/>
        <v>1</v>
      </c>
    </row>
    <row r="18" spans="1:5" x14ac:dyDescent="0.3">
      <c r="A18" s="3" t="str">
        <f t="shared" si="2"/>
        <v>3112.2</v>
      </c>
      <c r="B18" s="1" t="s">
        <v>37</v>
      </c>
      <c r="C18" t="s">
        <v>15</v>
      </c>
      <c r="D18">
        <f t="shared" si="0"/>
        <v>3</v>
      </c>
      <c r="E18" t="b">
        <f t="shared" si="1"/>
        <v>1</v>
      </c>
    </row>
    <row r="19" spans="1:5" x14ac:dyDescent="0.3">
      <c r="A19" s="3" t="str">
        <f t="shared" si="2"/>
        <v>3151.51</v>
      </c>
      <c r="B19" s="1" t="s">
        <v>38</v>
      </c>
      <c r="C19" t="s">
        <v>21</v>
      </c>
      <c r="D19">
        <f t="shared" si="0"/>
        <v>0</v>
      </c>
      <c r="E19" t="b">
        <f t="shared" si="1"/>
        <v>1</v>
      </c>
    </row>
    <row r="20" spans="1:5" x14ac:dyDescent="0.3">
      <c r="A20" s="3" t="str">
        <f t="shared" si="2"/>
        <v>3154.02</v>
      </c>
      <c r="B20" s="1" t="s">
        <v>39</v>
      </c>
      <c r="C20" t="s">
        <v>15</v>
      </c>
      <c r="D20">
        <f t="shared" si="0"/>
        <v>3</v>
      </c>
      <c r="E20" t="b">
        <f t="shared" si="1"/>
        <v>1</v>
      </c>
    </row>
    <row r="21" spans="1:5" x14ac:dyDescent="0.3">
      <c r="A21" s="3" t="str">
        <f t="shared" si="2"/>
        <v>3170.29</v>
      </c>
      <c r="B21" s="1" t="s">
        <v>40</v>
      </c>
      <c r="C21" t="s">
        <v>21</v>
      </c>
      <c r="D21">
        <f t="shared" si="0"/>
        <v>0</v>
      </c>
      <c r="E21" t="b">
        <f t="shared" si="1"/>
        <v>1</v>
      </c>
    </row>
    <row r="22" spans="1:5" x14ac:dyDescent="0.3">
      <c r="A22" s="3" t="str">
        <f t="shared" si="2"/>
        <v>3275.55</v>
      </c>
      <c r="B22" s="1" t="s">
        <v>41</v>
      </c>
      <c r="C22" t="s">
        <v>15</v>
      </c>
      <c r="D22">
        <f t="shared" si="0"/>
        <v>3</v>
      </c>
      <c r="E22" t="b">
        <f t="shared" si="1"/>
        <v>1</v>
      </c>
    </row>
    <row r="23" spans="1:5" x14ac:dyDescent="0.3">
      <c r="A23" s="3" t="str">
        <f t="shared" si="2"/>
        <v>3287.62</v>
      </c>
      <c r="B23" s="1" t="s">
        <v>42</v>
      </c>
      <c r="C23" t="s">
        <v>21</v>
      </c>
      <c r="D23">
        <f t="shared" si="0"/>
        <v>0</v>
      </c>
      <c r="E23" t="b">
        <f t="shared" si="1"/>
        <v>1</v>
      </c>
    </row>
    <row r="24" spans="1:5" x14ac:dyDescent="0.3">
      <c r="A24" s="3" t="str">
        <f t="shared" si="2"/>
        <v>3299.65</v>
      </c>
      <c r="B24" s="1" t="s">
        <v>43</v>
      </c>
      <c r="C24" t="s">
        <v>15</v>
      </c>
      <c r="D24">
        <f t="shared" si="0"/>
        <v>3</v>
      </c>
      <c r="E24" t="b">
        <f t="shared" si="1"/>
        <v>1</v>
      </c>
    </row>
    <row r="25" spans="1:5" x14ac:dyDescent="0.3">
      <c r="A25" s="3" t="str">
        <f t="shared" si="2"/>
        <v>3330.47</v>
      </c>
      <c r="B25" s="1" t="s">
        <v>44</v>
      </c>
      <c r="C25" t="s">
        <v>21</v>
      </c>
      <c r="D25">
        <f t="shared" si="0"/>
        <v>0</v>
      </c>
      <c r="E25" t="b">
        <f t="shared" si="1"/>
        <v>1</v>
      </c>
    </row>
    <row r="26" spans="1:5" x14ac:dyDescent="0.3">
      <c r="A26" s="3" t="str">
        <f t="shared" si="2"/>
        <v>3341.53</v>
      </c>
      <c r="B26" s="1" t="s">
        <v>45</v>
      </c>
      <c r="C26" t="s">
        <v>15</v>
      </c>
      <c r="D26">
        <f t="shared" si="0"/>
        <v>3</v>
      </c>
      <c r="E26" t="b">
        <f t="shared" si="1"/>
        <v>1</v>
      </c>
    </row>
    <row r="27" spans="1:5" x14ac:dyDescent="0.3">
      <c r="A27" s="3" t="str">
        <f t="shared" si="2"/>
        <v>3343.37</v>
      </c>
      <c r="B27" s="1" t="s">
        <v>46</v>
      </c>
      <c r="C27" t="s">
        <v>17</v>
      </c>
      <c r="D27">
        <f t="shared" si="0"/>
        <v>5</v>
      </c>
      <c r="E27" t="b">
        <f t="shared" si="1"/>
        <v>1</v>
      </c>
    </row>
    <row r="28" spans="1:5" x14ac:dyDescent="0.3">
      <c r="A28" s="3" t="str">
        <f t="shared" si="2"/>
        <v>3876.16</v>
      </c>
      <c r="B28" s="1" t="s">
        <v>47</v>
      </c>
      <c r="C28" t="s">
        <v>21</v>
      </c>
      <c r="D28">
        <f t="shared" si="0"/>
        <v>0</v>
      </c>
      <c r="E28" t="b">
        <f t="shared" si="1"/>
        <v>1</v>
      </c>
    </row>
    <row r="29" spans="1:5" x14ac:dyDescent="0.3">
      <c r="A29" s="3" t="str">
        <f t="shared" si="2"/>
        <v>3879.01</v>
      </c>
      <c r="B29" s="1" t="s">
        <v>48</v>
      </c>
      <c r="C29" t="s">
        <v>15</v>
      </c>
      <c r="D29">
        <f t="shared" si="0"/>
        <v>3</v>
      </c>
      <c r="E29" t="b">
        <f t="shared" si="1"/>
        <v>1</v>
      </c>
    </row>
    <row r="30" spans="1:5" x14ac:dyDescent="0.3">
      <c r="A30" s="3" t="str">
        <f t="shared" si="2"/>
        <v>3890.54</v>
      </c>
      <c r="B30" s="1" t="s">
        <v>1</v>
      </c>
      <c r="C30" t="s">
        <v>18</v>
      </c>
      <c r="D30">
        <f t="shared" si="0"/>
        <v>6</v>
      </c>
    </row>
    <row r="31" spans="1:5" x14ac:dyDescent="0.3">
      <c r="B31" s="1"/>
    </row>
    <row r="32" spans="1:5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137" spans="2:2" x14ac:dyDescent="0.3">
      <c r="B137" s="1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FC20-509E-4EA7-A3BA-9C8E80E7EA7D}">
  <sheetPr codeName="Tabelle4"/>
  <dimension ref="A1:N137"/>
  <sheetViews>
    <sheetView workbookViewId="0">
      <selection activeCell="N2" sqref="N2"/>
    </sheetView>
  </sheetViews>
  <sheetFormatPr baseColWidth="10" defaultRowHeight="14.4" x14ac:dyDescent="0.3"/>
  <cols>
    <col min="1" max="1" width="11.5546875" style="3"/>
    <col min="3" max="3" width="18.33203125" bestFit="1" customWidth="1"/>
    <col min="6" max="6" width="11.5546875" style="2"/>
    <col min="7" max="7" width="17.33203125" bestFit="1" customWidth="1"/>
  </cols>
  <sheetData>
    <row r="1" spans="1:14" x14ac:dyDescent="0.3">
      <c r="A1" s="3" t="s">
        <v>0</v>
      </c>
      <c r="B1" s="1" t="s">
        <v>22</v>
      </c>
      <c r="C1" t="s">
        <v>21</v>
      </c>
      <c r="D1">
        <f>VLOOKUP(C1,$G:$H,2,FALSE)</f>
        <v>0</v>
      </c>
      <c r="E1" t="b">
        <f>SUBSTITUTE(B1,".",",")*1&lt;SUBSTITUTE(B2,".",",")*1</f>
        <v>1</v>
      </c>
      <c r="G1" t="s">
        <v>21</v>
      </c>
      <c r="H1">
        <v>0</v>
      </c>
    </row>
    <row r="2" spans="1:14" x14ac:dyDescent="0.3">
      <c r="A2" s="3" t="str">
        <f>B1</f>
        <v>41.32</v>
      </c>
      <c r="B2" s="1" t="s">
        <v>23</v>
      </c>
      <c r="C2" t="s">
        <v>13</v>
      </c>
      <c r="D2">
        <f t="shared" ref="D2:D30" si="0">VLOOKUP(C2,$G:$H,2,FALSE)</f>
        <v>1</v>
      </c>
      <c r="E2" t="b">
        <f t="shared" ref="E2:E29" si="1">SUBSTITUTE(B2,".",",")*1&lt;SUBSTITUTE(B3,".",",")*1</f>
        <v>1</v>
      </c>
      <c r="G2" t="s">
        <v>13</v>
      </c>
      <c r="H2">
        <v>1</v>
      </c>
      <c r="N2" t="s">
        <v>55</v>
      </c>
    </row>
    <row r="3" spans="1:14" x14ac:dyDescent="0.3">
      <c r="A3" s="3" t="str">
        <f>B2</f>
        <v>110.36</v>
      </c>
      <c r="B3" s="1" t="s">
        <v>24</v>
      </c>
      <c r="C3" t="s">
        <v>21</v>
      </c>
      <c r="D3">
        <f t="shared" si="0"/>
        <v>0</v>
      </c>
      <c r="E3" t="b">
        <f t="shared" si="1"/>
        <v>1</v>
      </c>
      <c r="G3" t="s">
        <v>53</v>
      </c>
      <c r="H3">
        <v>2</v>
      </c>
      <c r="N3" t="s">
        <v>54</v>
      </c>
    </row>
    <row r="4" spans="1:14" x14ac:dyDescent="0.3">
      <c r="A4" s="3" t="str">
        <f t="shared" ref="A4:A30" si="2">B3</f>
        <v>115.19</v>
      </c>
      <c r="B4" s="1" t="s">
        <v>25</v>
      </c>
      <c r="C4" t="s">
        <v>13</v>
      </c>
      <c r="D4">
        <f t="shared" si="0"/>
        <v>1</v>
      </c>
      <c r="E4" t="b">
        <f t="shared" si="1"/>
        <v>1</v>
      </c>
      <c r="G4" t="s">
        <v>15</v>
      </c>
      <c r="H4">
        <v>3</v>
      </c>
    </row>
    <row r="5" spans="1:14" x14ac:dyDescent="0.3">
      <c r="A5" s="3" t="str">
        <f t="shared" si="2"/>
        <v>120.46</v>
      </c>
      <c r="B5" s="1" t="s">
        <v>26</v>
      </c>
      <c r="C5" t="s">
        <v>21</v>
      </c>
      <c r="D5">
        <f t="shared" si="0"/>
        <v>0</v>
      </c>
      <c r="E5" t="b">
        <f t="shared" si="1"/>
        <v>1</v>
      </c>
      <c r="G5" t="s">
        <v>17</v>
      </c>
      <c r="H5">
        <v>4</v>
      </c>
    </row>
    <row r="6" spans="1:14" x14ac:dyDescent="0.3">
      <c r="A6" s="3" t="str">
        <f t="shared" si="2"/>
        <v>125.06</v>
      </c>
      <c r="B6" s="1" t="s">
        <v>27</v>
      </c>
      <c r="C6" t="s">
        <v>53</v>
      </c>
      <c r="D6">
        <f t="shared" si="0"/>
        <v>2</v>
      </c>
      <c r="E6" t="b">
        <f t="shared" si="1"/>
        <v>1</v>
      </c>
      <c r="G6" t="s">
        <v>18</v>
      </c>
      <c r="H6">
        <v>5</v>
      </c>
    </row>
    <row r="7" spans="1:14" x14ac:dyDescent="0.3">
      <c r="A7" s="3" t="str">
        <f t="shared" si="2"/>
        <v>1967.13</v>
      </c>
      <c r="B7" s="1" t="s">
        <v>28</v>
      </c>
      <c r="C7" t="s">
        <v>15</v>
      </c>
      <c r="D7">
        <f t="shared" si="0"/>
        <v>3</v>
      </c>
      <c r="E7" t="b">
        <f t="shared" si="1"/>
        <v>1</v>
      </c>
    </row>
    <row r="8" spans="1:14" x14ac:dyDescent="0.3">
      <c r="A8" s="3" t="str">
        <f t="shared" si="2"/>
        <v>1988.08</v>
      </c>
      <c r="B8" s="1" t="s">
        <v>29</v>
      </c>
      <c r="C8" t="s">
        <v>21</v>
      </c>
      <c r="D8">
        <f t="shared" si="0"/>
        <v>0</v>
      </c>
      <c r="E8" t="b">
        <f t="shared" si="1"/>
        <v>1</v>
      </c>
    </row>
    <row r="9" spans="1:14" x14ac:dyDescent="0.3">
      <c r="A9" s="3" t="str">
        <f t="shared" si="2"/>
        <v>1991.04</v>
      </c>
      <c r="B9" s="1" t="s">
        <v>30</v>
      </c>
      <c r="C9" t="s">
        <v>15</v>
      </c>
      <c r="D9">
        <f t="shared" si="0"/>
        <v>3</v>
      </c>
      <c r="E9" t="b">
        <f t="shared" si="1"/>
        <v>1</v>
      </c>
    </row>
    <row r="10" spans="1:14" x14ac:dyDescent="0.3">
      <c r="A10" s="3" t="str">
        <f t="shared" si="2"/>
        <v>2007.11</v>
      </c>
      <c r="B10" s="1" t="s">
        <v>31</v>
      </c>
      <c r="C10" t="s">
        <v>21</v>
      </c>
      <c r="D10">
        <f t="shared" si="0"/>
        <v>0</v>
      </c>
      <c r="E10" t="b">
        <f t="shared" si="1"/>
        <v>1</v>
      </c>
    </row>
    <row r="11" spans="1:14" x14ac:dyDescent="0.3">
      <c r="A11" s="3" t="str">
        <f t="shared" si="2"/>
        <v>2056.95</v>
      </c>
      <c r="B11" s="1" t="s">
        <v>32</v>
      </c>
      <c r="C11" t="s">
        <v>13</v>
      </c>
      <c r="D11">
        <f t="shared" si="0"/>
        <v>1</v>
      </c>
      <c r="E11" t="b">
        <f t="shared" si="1"/>
        <v>1</v>
      </c>
    </row>
    <row r="12" spans="1:14" x14ac:dyDescent="0.3">
      <c r="A12" s="3" t="str">
        <f t="shared" si="2"/>
        <v>2160.12</v>
      </c>
      <c r="B12" s="1" t="s">
        <v>6</v>
      </c>
      <c r="C12" t="s">
        <v>53</v>
      </c>
      <c r="D12">
        <f t="shared" si="0"/>
        <v>2</v>
      </c>
      <c r="E12" t="b">
        <f t="shared" si="1"/>
        <v>1</v>
      </c>
    </row>
    <row r="13" spans="1:14" x14ac:dyDescent="0.3">
      <c r="A13" s="3" t="str">
        <f t="shared" si="2"/>
        <v>2519.8</v>
      </c>
      <c r="B13" s="1" t="s">
        <v>33</v>
      </c>
      <c r="C13" t="s">
        <v>15</v>
      </c>
      <c r="D13">
        <f t="shared" si="0"/>
        <v>3</v>
      </c>
      <c r="E13" t="b">
        <f t="shared" si="1"/>
        <v>1</v>
      </c>
    </row>
    <row r="14" spans="1:14" x14ac:dyDescent="0.3">
      <c r="A14" s="3" t="str">
        <f t="shared" si="2"/>
        <v>2559.75</v>
      </c>
      <c r="B14" s="1" t="s">
        <v>34</v>
      </c>
      <c r="C14" t="s">
        <v>21</v>
      </c>
      <c r="D14">
        <f t="shared" si="0"/>
        <v>0</v>
      </c>
      <c r="E14" t="b">
        <f t="shared" si="1"/>
        <v>1</v>
      </c>
    </row>
    <row r="15" spans="1:14" x14ac:dyDescent="0.3">
      <c r="A15" s="3" t="str">
        <f t="shared" si="2"/>
        <v>2562.72</v>
      </c>
      <c r="B15" s="1" t="s">
        <v>35</v>
      </c>
      <c r="C15" t="s">
        <v>15</v>
      </c>
      <c r="D15">
        <f t="shared" si="0"/>
        <v>3</v>
      </c>
      <c r="E15" t="b">
        <f t="shared" si="1"/>
        <v>1</v>
      </c>
    </row>
    <row r="16" spans="1:14" x14ac:dyDescent="0.3">
      <c r="A16" s="3" t="str">
        <f t="shared" si="2"/>
        <v>2578.66</v>
      </c>
      <c r="B16" s="1" t="s">
        <v>36</v>
      </c>
      <c r="C16" t="s">
        <v>13</v>
      </c>
      <c r="D16">
        <f t="shared" si="0"/>
        <v>1</v>
      </c>
      <c r="E16" t="b">
        <f t="shared" si="1"/>
        <v>1</v>
      </c>
    </row>
    <row r="17" spans="1:5" x14ac:dyDescent="0.3">
      <c r="A17" s="3" t="str">
        <f t="shared" si="2"/>
        <v>2752.54</v>
      </c>
      <c r="B17" s="1" t="s">
        <v>8</v>
      </c>
      <c r="C17" t="s">
        <v>53</v>
      </c>
      <c r="D17">
        <f t="shared" si="0"/>
        <v>2</v>
      </c>
      <c r="E17" t="b">
        <f t="shared" si="1"/>
        <v>1</v>
      </c>
    </row>
    <row r="18" spans="1:5" x14ac:dyDescent="0.3">
      <c r="A18" s="3" t="str">
        <f t="shared" si="2"/>
        <v>3112.2</v>
      </c>
      <c r="B18" s="1" t="s">
        <v>37</v>
      </c>
      <c r="C18" t="s">
        <v>15</v>
      </c>
      <c r="D18">
        <f t="shared" si="0"/>
        <v>3</v>
      </c>
      <c r="E18" t="b">
        <f t="shared" si="1"/>
        <v>1</v>
      </c>
    </row>
    <row r="19" spans="1:5" x14ac:dyDescent="0.3">
      <c r="A19" s="3" t="str">
        <f t="shared" si="2"/>
        <v>3151.51</v>
      </c>
      <c r="B19" s="1" t="s">
        <v>38</v>
      </c>
      <c r="C19" t="s">
        <v>21</v>
      </c>
      <c r="D19">
        <f t="shared" si="0"/>
        <v>0</v>
      </c>
      <c r="E19" t="b">
        <f t="shared" si="1"/>
        <v>1</v>
      </c>
    </row>
    <row r="20" spans="1:5" x14ac:dyDescent="0.3">
      <c r="A20" s="3" t="str">
        <f t="shared" si="2"/>
        <v>3154.02</v>
      </c>
      <c r="B20" s="1" t="s">
        <v>39</v>
      </c>
      <c r="C20" t="s">
        <v>15</v>
      </c>
      <c r="D20">
        <f t="shared" si="0"/>
        <v>3</v>
      </c>
      <c r="E20" t="b">
        <f t="shared" si="1"/>
        <v>1</v>
      </c>
    </row>
    <row r="21" spans="1:5" x14ac:dyDescent="0.3">
      <c r="A21" s="3" t="str">
        <f t="shared" si="2"/>
        <v>3170.29</v>
      </c>
      <c r="B21" s="1" t="s">
        <v>40</v>
      </c>
      <c r="C21" t="s">
        <v>21</v>
      </c>
      <c r="D21">
        <f t="shared" si="0"/>
        <v>0</v>
      </c>
      <c r="E21" t="b">
        <f t="shared" si="1"/>
        <v>1</v>
      </c>
    </row>
    <row r="22" spans="1:5" x14ac:dyDescent="0.3">
      <c r="A22" s="3" t="str">
        <f t="shared" si="2"/>
        <v>3275.55</v>
      </c>
      <c r="B22" s="1" t="s">
        <v>41</v>
      </c>
      <c r="C22" t="s">
        <v>15</v>
      </c>
      <c r="D22">
        <f t="shared" si="0"/>
        <v>3</v>
      </c>
      <c r="E22" t="b">
        <f t="shared" si="1"/>
        <v>1</v>
      </c>
    </row>
    <row r="23" spans="1:5" x14ac:dyDescent="0.3">
      <c r="A23" s="3" t="str">
        <f t="shared" si="2"/>
        <v>3287.62</v>
      </c>
      <c r="B23" s="1" t="s">
        <v>42</v>
      </c>
      <c r="C23" t="s">
        <v>21</v>
      </c>
      <c r="D23">
        <f t="shared" si="0"/>
        <v>0</v>
      </c>
      <c r="E23" t="b">
        <f t="shared" si="1"/>
        <v>1</v>
      </c>
    </row>
    <row r="24" spans="1:5" x14ac:dyDescent="0.3">
      <c r="A24" s="3" t="str">
        <f t="shared" si="2"/>
        <v>3299.65</v>
      </c>
      <c r="B24" s="1" t="s">
        <v>43</v>
      </c>
      <c r="C24" t="s">
        <v>15</v>
      </c>
      <c r="D24">
        <f t="shared" si="0"/>
        <v>3</v>
      </c>
      <c r="E24" t="b">
        <f t="shared" si="1"/>
        <v>1</v>
      </c>
    </row>
    <row r="25" spans="1:5" x14ac:dyDescent="0.3">
      <c r="A25" s="3" t="str">
        <f t="shared" si="2"/>
        <v>3330.47</v>
      </c>
      <c r="B25" s="1" t="s">
        <v>44</v>
      </c>
      <c r="C25" t="s">
        <v>21</v>
      </c>
      <c r="D25">
        <f t="shared" si="0"/>
        <v>0</v>
      </c>
      <c r="E25" t="b">
        <f t="shared" si="1"/>
        <v>1</v>
      </c>
    </row>
    <row r="26" spans="1:5" x14ac:dyDescent="0.3">
      <c r="A26" s="3" t="str">
        <f t="shared" si="2"/>
        <v>3341.53</v>
      </c>
      <c r="B26" s="1" t="s">
        <v>45</v>
      </c>
      <c r="C26" t="s">
        <v>15</v>
      </c>
      <c r="D26">
        <f t="shared" si="0"/>
        <v>3</v>
      </c>
      <c r="E26" t="b">
        <f t="shared" si="1"/>
        <v>1</v>
      </c>
    </row>
    <row r="27" spans="1:5" x14ac:dyDescent="0.3">
      <c r="A27" s="3" t="str">
        <f t="shared" si="2"/>
        <v>3343.37</v>
      </c>
      <c r="B27" s="1" t="s">
        <v>46</v>
      </c>
      <c r="C27" t="s">
        <v>17</v>
      </c>
      <c r="D27">
        <f t="shared" si="0"/>
        <v>4</v>
      </c>
      <c r="E27" t="b">
        <f t="shared" si="1"/>
        <v>1</v>
      </c>
    </row>
    <row r="28" spans="1:5" x14ac:dyDescent="0.3">
      <c r="A28" s="3" t="str">
        <f t="shared" si="2"/>
        <v>3876.16</v>
      </c>
      <c r="B28" s="1" t="s">
        <v>47</v>
      </c>
      <c r="C28" t="s">
        <v>21</v>
      </c>
      <c r="D28">
        <f t="shared" si="0"/>
        <v>0</v>
      </c>
      <c r="E28" t="b">
        <f t="shared" si="1"/>
        <v>1</v>
      </c>
    </row>
    <row r="29" spans="1:5" x14ac:dyDescent="0.3">
      <c r="A29" s="3" t="str">
        <f t="shared" si="2"/>
        <v>3879.01</v>
      </c>
      <c r="B29" s="1" t="s">
        <v>48</v>
      </c>
      <c r="C29" t="s">
        <v>15</v>
      </c>
      <c r="D29">
        <f t="shared" si="0"/>
        <v>3</v>
      </c>
      <c r="E29" t="b">
        <f t="shared" si="1"/>
        <v>1</v>
      </c>
    </row>
    <row r="30" spans="1:5" x14ac:dyDescent="0.3">
      <c r="A30" s="3" t="str">
        <f t="shared" si="2"/>
        <v>3890.54</v>
      </c>
      <c r="B30" s="1" t="s">
        <v>1</v>
      </c>
      <c r="C30" t="s">
        <v>18</v>
      </c>
      <c r="D30">
        <f t="shared" si="0"/>
        <v>5</v>
      </c>
    </row>
    <row r="31" spans="1:5" x14ac:dyDescent="0.3">
      <c r="B31" s="1"/>
    </row>
    <row r="32" spans="1:5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137" spans="2:2" x14ac:dyDescent="0.3">
      <c r="B137" s="1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08ABC-AE58-4772-B65A-E810AF1C599F}">
  <sheetPr codeName="Tabelle5"/>
  <dimension ref="A1:N141"/>
  <sheetViews>
    <sheetView tabSelected="1" workbookViewId="0">
      <selection activeCell="N1" sqref="N1"/>
    </sheetView>
  </sheetViews>
  <sheetFormatPr baseColWidth="10" defaultRowHeight="14.4" x14ac:dyDescent="0.3"/>
  <cols>
    <col min="1" max="1" width="11.5546875" style="3"/>
    <col min="3" max="3" width="18.33203125" bestFit="1" customWidth="1"/>
    <col min="6" max="6" width="11.5546875" style="2"/>
    <col min="7" max="7" width="17.33203125" bestFit="1" customWidth="1"/>
  </cols>
  <sheetData>
    <row r="1" spans="1:14" x14ac:dyDescent="0.3">
      <c r="A1" s="3" t="s">
        <v>0</v>
      </c>
      <c r="B1" s="1" t="s">
        <v>22</v>
      </c>
      <c r="C1" t="s">
        <v>56</v>
      </c>
      <c r="D1">
        <f>VLOOKUP(C1,$G:$H,2,FALSE)</f>
        <v>0</v>
      </c>
      <c r="E1" t="b">
        <f>SUBSTITUTE(B1,".",",")*1&lt;SUBSTITUTE(B2,".",",")*1</f>
        <v>1</v>
      </c>
      <c r="G1" t="s">
        <v>56</v>
      </c>
      <c r="H1">
        <v>0</v>
      </c>
      <c r="N1" s="4" t="s">
        <v>64</v>
      </c>
    </row>
    <row r="2" spans="1:14" x14ac:dyDescent="0.3">
      <c r="A2" s="3" t="str">
        <f>B1</f>
        <v>41.32</v>
      </c>
      <c r="B2" s="1" t="s">
        <v>23</v>
      </c>
      <c r="C2" t="s">
        <v>13</v>
      </c>
      <c r="D2">
        <f t="shared" ref="D2:D34" si="0">VLOOKUP(C2,$G:$H,2,FALSE)</f>
        <v>1</v>
      </c>
      <c r="E2" t="b">
        <f t="shared" ref="E2:E32" si="1">SUBSTITUTE(B2,".",",")*1&lt;SUBSTITUTE(B3,".",",")*1</f>
        <v>1</v>
      </c>
      <c r="G2" t="s">
        <v>13</v>
      </c>
      <c r="H2">
        <v>1</v>
      </c>
      <c r="N2" t="s">
        <v>63</v>
      </c>
    </row>
    <row r="3" spans="1:14" x14ac:dyDescent="0.3">
      <c r="A3" s="3" t="str">
        <f t="shared" ref="A3:A34" si="2">B2</f>
        <v>110.36</v>
      </c>
      <c r="B3" s="1" t="s">
        <v>24</v>
      </c>
      <c r="C3" t="s">
        <v>56</v>
      </c>
      <c r="D3">
        <f t="shared" si="0"/>
        <v>0</v>
      </c>
      <c r="E3" t="b">
        <f t="shared" si="1"/>
        <v>1</v>
      </c>
      <c r="G3" t="s">
        <v>53</v>
      </c>
      <c r="H3">
        <v>2</v>
      </c>
      <c r="N3" t="s">
        <v>57</v>
      </c>
    </row>
    <row r="4" spans="1:14" x14ac:dyDescent="0.3">
      <c r="A4" s="3" t="str">
        <f t="shared" si="2"/>
        <v>115.19</v>
      </c>
      <c r="B4" s="1" t="s">
        <v>25</v>
      </c>
      <c r="C4" t="s">
        <v>13</v>
      </c>
      <c r="D4">
        <f t="shared" si="0"/>
        <v>1</v>
      </c>
      <c r="E4" t="b">
        <f t="shared" si="1"/>
        <v>1</v>
      </c>
      <c r="G4" t="s">
        <v>15</v>
      </c>
      <c r="H4">
        <v>3</v>
      </c>
    </row>
    <row r="5" spans="1:14" x14ac:dyDescent="0.3">
      <c r="A5" s="3" t="str">
        <f t="shared" si="2"/>
        <v>120.46</v>
      </c>
      <c r="B5" s="1" t="s">
        <v>26</v>
      </c>
      <c r="C5" t="s">
        <v>56</v>
      </c>
      <c r="D5">
        <f t="shared" si="0"/>
        <v>0</v>
      </c>
      <c r="E5" t="b">
        <f t="shared" si="1"/>
        <v>1</v>
      </c>
      <c r="G5" t="s">
        <v>17</v>
      </c>
      <c r="H5">
        <v>4</v>
      </c>
    </row>
    <row r="6" spans="1:14" x14ac:dyDescent="0.3">
      <c r="A6" s="3" t="str">
        <f t="shared" si="2"/>
        <v>125.06</v>
      </c>
      <c r="B6" s="1" t="s">
        <v>58</v>
      </c>
      <c r="C6" t="s">
        <v>13</v>
      </c>
      <c r="D6">
        <f t="shared" si="0"/>
        <v>1</v>
      </c>
      <c r="E6" t="b">
        <f t="shared" si="1"/>
        <v>1</v>
      </c>
    </row>
    <row r="7" spans="1:14" x14ac:dyDescent="0.3">
      <c r="A7" s="3" t="str">
        <f t="shared" si="2"/>
        <v>196.85</v>
      </c>
      <c r="B7" s="1" t="s">
        <v>27</v>
      </c>
      <c r="C7" t="s">
        <v>53</v>
      </c>
      <c r="D7">
        <f t="shared" si="0"/>
        <v>2</v>
      </c>
      <c r="E7" t="b">
        <f t="shared" si="1"/>
        <v>1</v>
      </c>
    </row>
    <row r="8" spans="1:14" x14ac:dyDescent="0.3">
      <c r="A8" s="3" t="str">
        <f t="shared" si="2"/>
        <v>1967.13</v>
      </c>
      <c r="B8" s="1" t="s">
        <v>28</v>
      </c>
      <c r="C8" t="s">
        <v>15</v>
      </c>
      <c r="D8">
        <f t="shared" si="0"/>
        <v>3</v>
      </c>
      <c r="E8" t="b">
        <f t="shared" si="1"/>
        <v>1</v>
      </c>
    </row>
    <row r="9" spans="1:14" x14ac:dyDescent="0.3">
      <c r="A9" s="3" t="str">
        <f t="shared" si="2"/>
        <v>1988.08</v>
      </c>
      <c r="B9" s="1" t="s">
        <v>29</v>
      </c>
      <c r="C9" t="s">
        <v>56</v>
      </c>
      <c r="D9">
        <f t="shared" si="0"/>
        <v>0</v>
      </c>
      <c r="E9" t="b">
        <f t="shared" si="1"/>
        <v>1</v>
      </c>
    </row>
    <row r="10" spans="1:14" x14ac:dyDescent="0.3">
      <c r="A10" s="3" t="str">
        <f t="shared" si="2"/>
        <v>1991.04</v>
      </c>
      <c r="B10" s="1" t="s">
        <v>30</v>
      </c>
      <c r="C10" t="s">
        <v>15</v>
      </c>
      <c r="D10">
        <f t="shared" si="0"/>
        <v>3</v>
      </c>
      <c r="E10" t="b">
        <f t="shared" si="1"/>
        <v>1</v>
      </c>
    </row>
    <row r="11" spans="1:14" x14ac:dyDescent="0.3">
      <c r="A11" s="3" t="str">
        <f t="shared" si="2"/>
        <v>2007.11</v>
      </c>
      <c r="B11" s="1" t="s">
        <v>31</v>
      </c>
      <c r="C11" t="s">
        <v>56</v>
      </c>
      <c r="D11">
        <f t="shared" si="0"/>
        <v>0</v>
      </c>
      <c r="E11" t="b">
        <f t="shared" si="1"/>
        <v>1</v>
      </c>
    </row>
    <row r="12" spans="1:14" x14ac:dyDescent="0.3">
      <c r="A12" s="3" t="str">
        <f t="shared" si="2"/>
        <v>2056.95</v>
      </c>
      <c r="B12" s="1" t="s">
        <v>32</v>
      </c>
      <c r="C12" t="s">
        <v>13</v>
      </c>
      <c r="D12">
        <f t="shared" si="0"/>
        <v>1</v>
      </c>
      <c r="E12" t="b">
        <f t="shared" si="1"/>
        <v>1</v>
      </c>
    </row>
    <row r="13" spans="1:14" x14ac:dyDescent="0.3">
      <c r="A13" s="3" t="str">
        <f t="shared" si="2"/>
        <v>2160.12</v>
      </c>
      <c r="B13" s="1" t="s">
        <v>6</v>
      </c>
      <c r="C13" t="s">
        <v>53</v>
      </c>
      <c r="D13">
        <f t="shared" si="0"/>
        <v>2</v>
      </c>
      <c r="E13" t="b">
        <f t="shared" si="1"/>
        <v>1</v>
      </c>
    </row>
    <row r="14" spans="1:14" x14ac:dyDescent="0.3">
      <c r="A14" s="3" t="str">
        <f t="shared" si="2"/>
        <v>2519.8</v>
      </c>
      <c r="B14" s="1" t="s">
        <v>59</v>
      </c>
      <c r="C14" t="s">
        <v>15</v>
      </c>
      <c r="D14">
        <f t="shared" si="0"/>
        <v>3</v>
      </c>
      <c r="E14" t="b">
        <f t="shared" si="1"/>
        <v>1</v>
      </c>
    </row>
    <row r="15" spans="1:14" x14ac:dyDescent="0.3">
      <c r="A15" s="3" t="str">
        <f t="shared" si="2"/>
        <v>2521.00</v>
      </c>
      <c r="B15" s="1" t="s">
        <v>33</v>
      </c>
      <c r="C15" t="s">
        <v>53</v>
      </c>
      <c r="D15">
        <f t="shared" si="0"/>
        <v>2</v>
      </c>
      <c r="E15" t="b">
        <f t="shared" si="1"/>
        <v>1</v>
      </c>
    </row>
    <row r="16" spans="1:14" x14ac:dyDescent="0.3">
      <c r="A16" s="3" t="str">
        <f t="shared" si="2"/>
        <v>2559.75</v>
      </c>
      <c r="B16" s="1" t="s">
        <v>34</v>
      </c>
      <c r="C16" t="s">
        <v>56</v>
      </c>
      <c r="D16">
        <f t="shared" si="0"/>
        <v>0</v>
      </c>
      <c r="E16" t="b">
        <f t="shared" si="1"/>
        <v>1</v>
      </c>
    </row>
    <row r="17" spans="1:5" x14ac:dyDescent="0.3">
      <c r="A17" s="3" t="str">
        <f t="shared" si="2"/>
        <v>2562.72</v>
      </c>
      <c r="B17" s="1" t="s">
        <v>60</v>
      </c>
      <c r="C17" t="s">
        <v>53</v>
      </c>
      <c r="D17">
        <f t="shared" si="0"/>
        <v>2</v>
      </c>
      <c r="E17" t="b">
        <f t="shared" si="1"/>
        <v>1</v>
      </c>
    </row>
    <row r="18" spans="1:5" x14ac:dyDescent="0.3">
      <c r="A18" s="3" t="str">
        <f t="shared" si="2"/>
        <v>2573.83</v>
      </c>
      <c r="B18" s="1" t="s">
        <v>61</v>
      </c>
      <c r="C18" t="s">
        <v>15</v>
      </c>
      <c r="D18">
        <f t="shared" si="0"/>
        <v>3</v>
      </c>
      <c r="E18" t="b">
        <f t="shared" si="1"/>
        <v>1</v>
      </c>
    </row>
    <row r="19" spans="1:5" x14ac:dyDescent="0.3">
      <c r="A19" s="3" t="str">
        <f t="shared" si="2"/>
        <v>2574.52</v>
      </c>
      <c r="B19" s="1" t="s">
        <v>62</v>
      </c>
      <c r="C19" t="s">
        <v>53</v>
      </c>
      <c r="D19">
        <f t="shared" si="0"/>
        <v>2</v>
      </c>
      <c r="E19" t="b">
        <f t="shared" si="1"/>
        <v>1</v>
      </c>
    </row>
    <row r="20" spans="1:5" x14ac:dyDescent="0.3">
      <c r="A20" s="3" t="str">
        <f t="shared" si="2"/>
        <v>2578.69</v>
      </c>
      <c r="B20" s="1" t="s">
        <v>36</v>
      </c>
      <c r="C20" t="s">
        <v>13</v>
      </c>
      <c r="D20">
        <f t="shared" si="0"/>
        <v>1</v>
      </c>
      <c r="E20" t="b">
        <f t="shared" si="1"/>
        <v>1</v>
      </c>
    </row>
    <row r="21" spans="1:5" x14ac:dyDescent="0.3">
      <c r="A21" s="3" t="str">
        <f t="shared" si="2"/>
        <v>2752.54</v>
      </c>
      <c r="B21" s="1" t="s">
        <v>8</v>
      </c>
      <c r="C21" t="s">
        <v>53</v>
      </c>
      <c r="D21">
        <f t="shared" si="0"/>
        <v>2</v>
      </c>
      <c r="E21" t="b">
        <f t="shared" si="1"/>
        <v>1</v>
      </c>
    </row>
    <row r="22" spans="1:5" x14ac:dyDescent="0.3">
      <c r="A22" s="3" t="str">
        <f t="shared" si="2"/>
        <v>3112.2</v>
      </c>
      <c r="B22" s="1" t="s">
        <v>37</v>
      </c>
      <c r="C22" t="s">
        <v>15</v>
      </c>
      <c r="D22">
        <f t="shared" si="0"/>
        <v>3</v>
      </c>
      <c r="E22" t="b">
        <f t="shared" si="1"/>
        <v>1</v>
      </c>
    </row>
    <row r="23" spans="1:5" x14ac:dyDescent="0.3">
      <c r="A23" s="3" t="str">
        <f t="shared" si="2"/>
        <v>3151.51</v>
      </c>
      <c r="B23" s="1" t="s">
        <v>38</v>
      </c>
      <c r="C23" t="s">
        <v>56</v>
      </c>
      <c r="D23">
        <f t="shared" si="0"/>
        <v>0</v>
      </c>
      <c r="E23" t="b">
        <f t="shared" si="1"/>
        <v>1</v>
      </c>
    </row>
    <row r="24" spans="1:5" x14ac:dyDescent="0.3">
      <c r="A24" s="3" t="str">
        <f t="shared" si="2"/>
        <v>3154.02</v>
      </c>
      <c r="B24" s="1" t="s">
        <v>39</v>
      </c>
      <c r="C24" t="s">
        <v>15</v>
      </c>
      <c r="D24">
        <f t="shared" si="0"/>
        <v>3</v>
      </c>
      <c r="E24" t="b">
        <f t="shared" si="1"/>
        <v>1</v>
      </c>
    </row>
    <row r="25" spans="1:5" x14ac:dyDescent="0.3">
      <c r="A25" s="3" t="str">
        <f t="shared" si="2"/>
        <v>3170.29</v>
      </c>
      <c r="B25" s="1" t="s">
        <v>40</v>
      </c>
      <c r="C25" t="s">
        <v>56</v>
      </c>
      <c r="D25">
        <f t="shared" si="0"/>
        <v>0</v>
      </c>
      <c r="E25" t="b">
        <f t="shared" si="1"/>
        <v>1</v>
      </c>
    </row>
    <row r="26" spans="1:5" x14ac:dyDescent="0.3">
      <c r="A26" s="3" t="str">
        <f t="shared" si="2"/>
        <v>3275.55</v>
      </c>
      <c r="B26" s="1" t="s">
        <v>41</v>
      </c>
      <c r="C26" t="s">
        <v>15</v>
      </c>
      <c r="D26">
        <f t="shared" si="0"/>
        <v>3</v>
      </c>
      <c r="E26" t="b">
        <f t="shared" si="1"/>
        <v>1</v>
      </c>
    </row>
    <row r="27" spans="1:5" x14ac:dyDescent="0.3">
      <c r="A27" s="3" t="str">
        <f t="shared" si="2"/>
        <v>3287.62</v>
      </c>
      <c r="B27" s="1" t="s">
        <v>42</v>
      </c>
      <c r="C27" t="s">
        <v>56</v>
      </c>
      <c r="D27">
        <f t="shared" si="0"/>
        <v>0</v>
      </c>
      <c r="E27" t="b">
        <f t="shared" si="1"/>
        <v>1</v>
      </c>
    </row>
    <row r="28" spans="1:5" x14ac:dyDescent="0.3">
      <c r="A28" s="3" t="str">
        <f t="shared" si="2"/>
        <v>3299.65</v>
      </c>
      <c r="B28" s="1" t="s">
        <v>43</v>
      </c>
      <c r="C28" t="s">
        <v>15</v>
      </c>
      <c r="D28">
        <f t="shared" si="0"/>
        <v>3</v>
      </c>
      <c r="E28" t="b">
        <f t="shared" si="1"/>
        <v>1</v>
      </c>
    </row>
    <row r="29" spans="1:5" x14ac:dyDescent="0.3">
      <c r="A29" s="3" t="str">
        <f t="shared" si="2"/>
        <v>3330.47</v>
      </c>
      <c r="B29" s="1" t="s">
        <v>44</v>
      </c>
      <c r="C29" t="s">
        <v>56</v>
      </c>
      <c r="D29">
        <f t="shared" si="0"/>
        <v>0</v>
      </c>
      <c r="E29" t="b">
        <f t="shared" si="1"/>
        <v>1</v>
      </c>
    </row>
    <row r="30" spans="1:5" x14ac:dyDescent="0.3">
      <c r="A30" s="3" t="str">
        <f t="shared" si="2"/>
        <v>3341.53</v>
      </c>
      <c r="B30" s="1" t="s">
        <v>45</v>
      </c>
      <c r="C30" t="s">
        <v>15</v>
      </c>
      <c r="D30">
        <f t="shared" si="0"/>
        <v>3</v>
      </c>
      <c r="E30" t="b">
        <f t="shared" si="1"/>
        <v>1</v>
      </c>
    </row>
    <row r="31" spans="1:5" x14ac:dyDescent="0.3">
      <c r="A31" s="3" t="str">
        <f t="shared" si="2"/>
        <v>3343.37</v>
      </c>
      <c r="B31" s="1" t="s">
        <v>46</v>
      </c>
      <c r="C31" t="s">
        <v>17</v>
      </c>
      <c r="D31">
        <f t="shared" si="0"/>
        <v>4</v>
      </c>
      <c r="E31" t="b">
        <f t="shared" si="1"/>
        <v>1</v>
      </c>
    </row>
    <row r="32" spans="1:5" x14ac:dyDescent="0.3">
      <c r="A32" s="3" t="str">
        <f t="shared" si="2"/>
        <v>3876.16</v>
      </c>
      <c r="B32" s="1" t="s">
        <v>47</v>
      </c>
      <c r="C32" t="s">
        <v>56</v>
      </c>
      <c r="D32">
        <f t="shared" si="0"/>
        <v>0</v>
      </c>
      <c r="E32" t="b">
        <f t="shared" si="1"/>
        <v>1</v>
      </c>
    </row>
    <row r="33" spans="1:5" x14ac:dyDescent="0.3">
      <c r="A33" s="3" t="str">
        <f t="shared" si="2"/>
        <v>3879.01</v>
      </c>
      <c r="B33" s="1" t="s">
        <v>48</v>
      </c>
      <c r="C33" t="s">
        <v>15</v>
      </c>
      <c r="D33">
        <f t="shared" si="0"/>
        <v>3</v>
      </c>
      <c r="E33" t="b">
        <f t="shared" ref="E33" si="3">SUBSTITUTE(B33,".",",")*1&lt;SUBSTITUTE(B34,".",",")*1</f>
        <v>1</v>
      </c>
    </row>
    <row r="34" spans="1:5" x14ac:dyDescent="0.3">
      <c r="A34" s="3" t="str">
        <f t="shared" si="2"/>
        <v>3890.54</v>
      </c>
      <c r="B34" s="1" t="s">
        <v>1</v>
      </c>
      <c r="C34" t="s">
        <v>56</v>
      </c>
      <c r="D34">
        <f t="shared" si="0"/>
        <v>0</v>
      </c>
    </row>
    <row r="35" spans="1:5" x14ac:dyDescent="0.3">
      <c r="B35" s="1"/>
    </row>
    <row r="36" spans="1:5" x14ac:dyDescent="0.3">
      <c r="B36" s="1"/>
    </row>
    <row r="37" spans="1:5" x14ac:dyDescent="0.3">
      <c r="B37" s="1"/>
    </row>
    <row r="38" spans="1:5" x14ac:dyDescent="0.3">
      <c r="B38" s="1"/>
    </row>
    <row r="39" spans="1:5" x14ac:dyDescent="0.3">
      <c r="B39" s="1"/>
    </row>
    <row r="141" spans="2:2" x14ac:dyDescent="0.3">
      <c r="B141" s="1"/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Tabelle1</vt:lpstr>
      <vt:lpstr>Tabelle1 (2)</vt:lpstr>
      <vt:lpstr>Tabelle1 (3)</vt:lpstr>
      <vt:lpstr>Tabelle1 (4)</vt:lpstr>
      <vt:lpstr>Tabelle1 (5)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</dc:creator>
  <cp:lastModifiedBy>Jens Juraschek</cp:lastModifiedBy>
  <dcterms:created xsi:type="dcterms:W3CDTF">2022-02-06T21:04:22Z</dcterms:created>
  <dcterms:modified xsi:type="dcterms:W3CDTF">2022-02-22T13:25:21Z</dcterms:modified>
</cp:coreProperties>
</file>